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<sst xmlns="http://schemas.openxmlformats.org/spreadsheetml/2006/main" count="221" uniqueCount="110">
  <si>
    <t xml:space="preserve">Activity ID</t>
  </si>
  <si>
    <t xml:space="preserve">Activity Name</t>
  </si>
  <si>
    <t xml:space="preserve">Duration (days)</t>
  </si>
  <si>
    <t xml:space="preserve">Start Date</t>
  </si>
  <si>
    <t xml:space="preserve">Finish Date</t>
  </si>
  <si>
    <t xml:space="preserve">Dependencies</t>
  </si>
  <si>
    <t xml:space="preserve">Assigned Resource</t>
  </si>
  <si>
    <t xml:space="preserve">Project Start Date</t>
  </si>
  <si>
    <t xml:space="preserve">2.0</t>
  </si>
  <si>
    <t xml:space="preserve">Design and legal validation of consent mechanism and privacy notice</t>
  </si>
  <si>
    <t xml:space="preserve">-</t>
  </si>
  <si>
    <t xml:space="preserve">Legal Consultant</t>
  </si>
  <si>
    <t xml:space="preserve">2.1a</t>
  </si>
  <si>
    <t xml:space="preserve">Decision on identification method</t>
  </si>
  <si>
    <t xml:space="preserve">Developer / Technical Lead</t>
  </si>
  <si>
    <t xml:space="preserve">2.1b</t>
  </si>
  <si>
    <t xml:space="preserve">Visual design of the chosen system</t>
  </si>
  <si>
    <t xml:space="preserve">UI/UX Designer</t>
  </si>
  <si>
    <t xml:space="preserve">2.2a</t>
  </si>
  <si>
    <t xml:space="preserve">Technical audit of POS terminal</t>
  </si>
  <si>
    <t xml:space="preserve">2.2a-bis</t>
  </si>
  <si>
    <t xml:space="preserve">Deep technical exploration of POS API</t>
  </si>
  <si>
    <t xml:space="preserve">2.2b</t>
  </si>
  <si>
    <t xml:space="preserve">Development of POS integration connector</t>
  </si>
  <si>
    <t xml:space="preserve">2.2c</t>
  </si>
  <si>
    <t xml:space="preserve">Testing of invoice to card linkage</t>
  </si>
  <si>
    <t xml:space="preserve">QA Tester</t>
  </si>
  <si>
    <t xml:space="preserve">2.3a</t>
  </si>
  <si>
    <t xml:space="preserve">Dashboard mockup and data architecture design</t>
  </si>
  <si>
    <t xml:space="preserve">2.3b</t>
  </si>
  <si>
    <t xml:space="preserve">Development of dashboard interface and data connection</t>
  </si>
  <si>
    <t xml:space="preserve">2.4</t>
  </si>
  <si>
    <t xml:space="preserve">Internal testing before pilot deployment</t>
  </si>
  <si>
    <t xml:space="preserve">2.2c,2.3b,2.1b</t>
  </si>
  <si>
    <t xml:space="preserve">3.1a</t>
  </si>
  <si>
    <t xml:space="preserve">Basic analysis of purchase patterns</t>
  </si>
  <si>
    <t xml:space="preserve">Business Analyst</t>
  </si>
  <si>
    <t xml:space="preserve">3.1b</t>
  </si>
  <si>
    <t xml:space="preserve">Definition of incentive mechanism</t>
  </si>
  <si>
    <t xml:space="preserve">Marketing Coordinator</t>
  </si>
  <si>
    <t xml:space="preserve">3.2a</t>
  </si>
  <si>
    <t xml:space="preserve">Design of communication materials</t>
  </si>
  <si>
    <t xml:space="preserve">Graphic Designer</t>
  </si>
  <si>
    <t xml:space="preserve">3.2b</t>
  </si>
  <si>
    <t xml:space="preserve">Review and validation cycle</t>
  </si>
  <si>
    <t xml:space="preserve">3.2c</t>
  </si>
  <si>
    <t xml:space="preserve">Printing and installation</t>
  </si>
  <si>
    <t xml:space="preserve">External Printing Service</t>
  </si>
  <si>
    <t xml:space="preserve">3.3</t>
  </si>
  <si>
    <t xml:space="preserve">Development of training script for checkout staff</t>
  </si>
  <si>
    <t xml:space="preserve">4.1</t>
  </si>
  <si>
    <t xml:space="preserve">Activation of data logging</t>
  </si>
  <si>
    <t xml:space="preserve">Data Analyst</t>
  </si>
  <si>
    <t xml:space="preserve">4.wait1</t>
  </si>
  <si>
    <t xml:space="preserve">Data accumulation period before first checkpoint</t>
  </si>
  <si>
    <t xml:space="preserve">4.2a</t>
  </si>
  <si>
    <t xml:space="preserve">First data quality checkpoint</t>
  </si>
  <si>
    <t xml:space="preserve">4.wait2</t>
  </si>
  <si>
    <t xml:space="preserve">Data accumulation period before second checkpoint</t>
  </si>
  <si>
    <t xml:space="preserve">4.2b</t>
  </si>
  <si>
    <t xml:space="preserve">Second data quality checkpoint</t>
  </si>
  <si>
    <t xml:space="preserve">4.wait3</t>
  </si>
  <si>
    <t xml:space="preserve">Data accumulation period before final validation</t>
  </si>
  <si>
    <t xml:space="preserve">4.2c</t>
  </si>
  <si>
    <t xml:space="preserve">Final data quality validation (3 months of data)</t>
  </si>
  <si>
    <t xml:space="preserve">5.1</t>
  </si>
  <si>
    <t xml:space="preserve">Distribution of loyalty cards</t>
  </si>
  <si>
    <t xml:space="preserve">2.4,3.2c,2.0</t>
  </si>
  <si>
    <t xml:space="preserve">Checkout Staff</t>
  </si>
  <si>
    <t xml:space="preserve">5.2</t>
  </si>
  <si>
    <t xml:space="preserve">Training delivery and observation tour</t>
  </si>
  <si>
    <t xml:space="preserve">3.3,5.1</t>
  </si>
  <si>
    <t xml:space="preserve">5.3</t>
  </si>
  <si>
    <t xml:space="preserve">Launch of discount voucher campaign</t>
  </si>
  <si>
    <t xml:space="preserve">5.wait1</t>
  </si>
  <si>
    <t xml:space="preserve">Adoption ramp-up period before first checkpoint</t>
  </si>
  <si>
    <t xml:space="preserve">5.4a</t>
  </si>
  <si>
    <t xml:space="preserve">First adoption checkpoint</t>
  </si>
  <si>
    <t xml:space="preserve">5.wait2</t>
  </si>
  <si>
    <t xml:space="preserve">Adoption ramp-up period before mid checkpoint</t>
  </si>
  <si>
    <t xml:space="preserve">5.4b</t>
  </si>
  <si>
    <t xml:space="preserve">Mid campaign adoption checkpoint</t>
  </si>
  <si>
    <t xml:space="preserve">5.wait3</t>
  </si>
  <si>
    <t xml:space="preserve">Adoption ramp-up period before final checkpoint</t>
  </si>
  <si>
    <t xml:space="preserve">5.4c</t>
  </si>
  <si>
    <t xml:space="preserve">Final adoption checkpoint (60 percent target)</t>
  </si>
  <si>
    <t xml:space="preserve">6.1</t>
  </si>
  <si>
    <t xml:space="preserve">Data preparation and cleaning</t>
  </si>
  <si>
    <t xml:space="preserve">Data Scientist</t>
  </si>
  <si>
    <t xml:space="preserve">6.2a</t>
  </si>
  <si>
    <t xml:space="preserve">Training of churn prediction model</t>
  </si>
  <si>
    <t xml:space="preserve">6.2b</t>
  </si>
  <si>
    <t xml:space="preserve">Validation and performance testing</t>
  </si>
  <si>
    <t xml:space="preserve">6.3</t>
  </si>
  <si>
    <t xml:space="preserve">Integration into dashboard</t>
  </si>
  <si>
    <t xml:space="preserve">7.1</t>
  </si>
  <si>
    <t xml:space="preserve">Full system testing across pilot stores</t>
  </si>
  <si>
    <t xml:space="preserve">5.4c,6.3</t>
  </si>
  <si>
    <t xml:space="preserve">7.2a</t>
  </si>
  <si>
    <t xml:space="preserve">Feedback from checkout staff</t>
  </si>
  <si>
    <t xml:space="preserve">7.2b</t>
  </si>
  <si>
    <t xml:space="preserve">Feedback from customers</t>
  </si>
  <si>
    <t xml:space="preserve">7.2c</t>
  </si>
  <si>
    <t xml:space="preserve">Synthesis and analysis of feedback</t>
  </si>
  <si>
    <t xml:space="preserve">7.2a,7.2b</t>
  </si>
  <si>
    <t xml:space="preserve">7.3</t>
  </si>
  <si>
    <t xml:space="preserve">Final measurement of regular customer rate</t>
  </si>
  <si>
    <t xml:space="preserve">Project Manager</t>
  </si>
  <si>
    <t xml:space="preserve">7.4</t>
  </si>
  <si>
    <t xml:space="preserve">Preparation of pilot assessment report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</si>
</sst>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true" outlineLevel="0" max="13" min="11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3" t="n">
        <v>46266</v>
      </c>
    </row>
    <row r="2" customFormat="false" ht="15" hidden="false" customHeight="false" outlineLevel="0" collapsed="false">
      <c r="A2" s="4" t="s">
        <v>8</v>
      </c>
      <c r="B2" s="5" t="s">
        <v>9</v>
      </c>
      <c r="C2" s="6" t="n">
        <v>11</v>
      </c>
      <c r="D2" s="7" t="n">
        <f aca="false">IF(AND($K2="",$L2="",$M2=""),$J$1,WORKDAY(MAX(IFERROR(INDEX($E$2:$E$43,MATCH($K2,$A$2:$A$43,0)),0),IFERROR(INDEX($E$2:$E$43,MATCH($L2,$A$2:$A$43,0)),0),IFERROR(INDEX($E$2:$E$43,MATCH($M2,$A$2:$A$43,0)),0)),1))</f>
        <v>46266</v>
      </c>
      <c r="E2" s="7" t="n">
        <f aca="false">WORKDAY(D2,C2-1)</f>
        <v>46280</v>
      </c>
      <c r="F2" s="6" t="s">
        <v>10</v>
      </c>
      <c r="G2" s="8" t="s">
        <v>11</v>
      </c>
    </row>
    <row r="3" customFormat="false" ht="15" hidden="false" customHeight="false" outlineLevel="0" collapsed="false">
      <c r="A3" s="9" t="s">
        <v>12</v>
      </c>
      <c r="B3" s="10" t="s">
        <v>13</v>
      </c>
      <c r="C3" s="11" t="n">
        <v>1</v>
      </c>
      <c r="D3" s="12" t="n">
        <f aca="false">IF(AND($K3="",$L3="",$M3=""),$J$1,WORKDAY(MAX(IFERROR(INDEX($E$2:$E$43,MATCH($K3,$A$2:$A$43,0)),0),IFERROR(INDEX($E$2:$E$43,MATCH($L3,$A$2:$A$43,0)),0),IFERROR(INDEX($E$2:$E$43,MATCH($M3,$A$2:$A$43,0)),0)),1))</f>
        <v>46266</v>
      </c>
      <c r="E3" s="12" t="n">
        <f aca="false">WORKDAY(D3,C3-1)</f>
        <v>46266</v>
      </c>
      <c r="F3" s="11" t="s">
        <v>10</v>
      </c>
      <c r="G3" s="13" t="s">
        <v>14</v>
      </c>
    </row>
    <row r="4" customFormat="false" ht="15" hidden="false" customHeight="false" outlineLevel="0" collapsed="false">
      <c r="A4" s="4" t="s">
        <v>15</v>
      </c>
      <c r="B4" s="5" t="s">
        <v>16</v>
      </c>
      <c r="C4" s="6" t="n">
        <v>5</v>
      </c>
      <c r="D4" s="7" t="n">
        <f aca="false">IF(AND($K4="",$L4="",$M4=""),$J$1,WORKDAY(MAX(IFERROR(INDEX($E$2:$E$43,MATCH($K4,$A$2:$A$43,0)),0),IFERROR(INDEX($E$2:$E$43,MATCH($L4,$A$2:$A$43,0)),0),IFERROR(INDEX($E$2:$E$43,MATCH($M4,$A$2:$A$43,0)),0)),1))</f>
        <v>46267</v>
      </c>
      <c r="E4" s="7" t="n">
        <f aca="false">WORKDAY(D4,C4-1)</f>
        <v>46273</v>
      </c>
      <c r="F4" s="6" t="s">
        <v>12</v>
      </c>
      <c r="G4" s="8" t="s">
        <v>17</v>
      </c>
      <c r="K4" s="14" t="s">
        <v>12</v>
      </c>
    </row>
    <row r="5" customFormat="false" ht="15" hidden="false" customHeight="false" outlineLevel="0" collapsed="false">
      <c r="A5" s="9" t="s">
        <v>18</v>
      </c>
      <c r="B5" s="10" t="s">
        <v>19</v>
      </c>
      <c r="C5" s="11" t="n">
        <v>3</v>
      </c>
      <c r="D5" s="12" t="n">
        <f aca="false">IF(AND($K5="",$L5="",$M5=""),$J$1,WORKDAY(MAX(IFERROR(INDEX($E$2:$E$43,MATCH($K5,$A$2:$A$43,0)),0),IFERROR(INDEX($E$2:$E$43,MATCH($L5,$A$2:$A$43,0)),0),IFERROR(INDEX($E$2:$E$43,MATCH($M5,$A$2:$A$43,0)),0)),1))</f>
        <v>46266</v>
      </c>
      <c r="E5" s="12" t="n">
        <f aca="false">WORKDAY(D5,C5-1)</f>
        <v>46268</v>
      </c>
      <c r="F5" s="11" t="s">
        <v>10</v>
      </c>
      <c r="G5" s="13" t="s">
        <v>14</v>
      </c>
    </row>
    <row r="6" customFormat="false" ht="15" hidden="false" customHeight="false" outlineLevel="0" collapsed="false">
      <c r="A6" s="4" t="s">
        <v>20</v>
      </c>
      <c r="B6" s="5" t="s">
        <v>21</v>
      </c>
      <c r="C6" s="6" t="n">
        <v>12</v>
      </c>
      <c r="D6" s="7" t="n">
        <f aca="false">IF(AND($K6="",$L6="",$M6=""),$J$1,WORKDAY(MAX(IFERROR(INDEX($E$2:$E$43,MATCH($K6,$A$2:$A$43,0)),0),IFERROR(INDEX($E$2:$E$43,MATCH($L6,$A$2:$A$43,0)),0),IFERROR(INDEX($E$2:$E$43,MATCH($M6,$A$2:$A$43,0)),0)),1))</f>
        <v>46269</v>
      </c>
      <c r="E6" s="7" t="n">
        <f aca="false">WORKDAY(D6,C6-1)</f>
        <v>46286</v>
      </c>
      <c r="F6" s="6" t="s">
        <v>18</v>
      </c>
      <c r="G6" s="8" t="s">
        <v>14</v>
      </c>
      <c r="K6" s="14" t="s">
        <v>18</v>
      </c>
    </row>
    <row r="7" customFormat="false" ht="15" hidden="false" customHeight="false" outlineLevel="0" collapsed="false">
      <c r="A7" s="9" t="s">
        <v>22</v>
      </c>
      <c r="B7" s="10" t="s">
        <v>23</v>
      </c>
      <c r="C7" s="11" t="n">
        <v>10</v>
      </c>
      <c r="D7" s="12" t="n">
        <f aca="false">IF(AND($K7="",$L7="",$M7=""),$J$1,WORKDAY(MAX(IFERROR(INDEX($E$2:$E$43,MATCH($K7,$A$2:$A$43,0)),0),IFERROR(INDEX($E$2:$E$43,MATCH($L7,$A$2:$A$43,0)),0),IFERROR(INDEX($E$2:$E$43,MATCH($M7,$A$2:$A$43,0)),0)),1))</f>
        <v>46287</v>
      </c>
      <c r="E7" s="12" t="n">
        <f aca="false">WORKDAY(D7,C7-1)</f>
        <v>46300</v>
      </c>
      <c r="F7" s="11" t="s">
        <v>20</v>
      </c>
      <c r="G7" s="13" t="s">
        <v>14</v>
      </c>
      <c r="K7" s="14" t="s">
        <v>20</v>
      </c>
    </row>
    <row r="8" customFormat="false" ht="15" hidden="false" customHeight="false" outlineLevel="0" collapsed="false">
      <c r="A8" s="4" t="s">
        <v>24</v>
      </c>
      <c r="B8" s="5" t="s">
        <v>25</v>
      </c>
      <c r="C8" s="6" t="n">
        <v>5</v>
      </c>
      <c r="D8" s="7" t="n">
        <f aca="false">IF(AND($K8="",$L8="",$M8=""),$J$1,WORKDAY(MAX(IFERROR(INDEX($E$2:$E$43,MATCH($K8,$A$2:$A$43,0)),0),IFERROR(INDEX($E$2:$E$43,MATCH($L8,$A$2:$A$43,0)),0),IFERROR(INDEX($E$2:$E$43,MATCH($M8,$A$2:$A$43,0)),0)),1))</f>
        <v>46301</v>
      </c>
      <c r="E8" s="7" t="n">
        <f aca="false">WORKDAY(D8,C8-1)</f>
        <v>46307</v>
      </c>
      <c r="F8" s="6" t="s">
        <v>22</v>
      </c>
      <c r="G8" s="8" t="s">
        <v>26</v>
      </c>
      <c r="K8" s="14" t="s">
        <v>22</v>
      </c>
    </row>
    <row r="9" customFormat="false" ht="15" hidden="false" customHeight="false" outlineLevel="0" collapsed="false">
      <c r="A9" s="9" t="s">
        <v>27</v>
      </c>
      <c r="B9" s="10" t="s">
        <v>28</v>
      </c>
      <c r="C9" s="11" t="n">
        <v>4</v>
      </c>
      <c r="D9" s="12" t="n">
        <f aca="false">IF(AND($K9="",$L9="",$M9=""),$J$1,WORKDAY(MAX(IFERROR(INDEX($E$2:$E$43,MATCH($K9,$A$2:$A$43,0)),0),IFERROR(INDEX($E$2:$E$43,MATCH($L9,$A$2:$A$43,0)),0),IFERROR(INDEX($E$2:$E$43,MATCH($M9,$A$2:$A$43,0)),0)),1))</f>
        <v>46301</v>
      </c>
      <c r="E9" s="12" t="n">
        <f aca="false">WORKDAY(D9,C9-1)</f>
        <v>46304</v>
      </c>
      <c r="F9" s="11" t="s">
        <v>22</v>
      </c>
      <c r="G9" s="13" t="s">
        <v>17</v>
      </c>
      <c r="K9" s="14" t="s">
        <v>22</v>
      </c>
    </row>
    <row r="10" customFormat="false" ht="15" hidden="false" customHeight="false" outlineLevel="0" collapsed="false">
      <c r="A10" s="4" t="s">
        <v>29</v>
      </c>
      <c r="B10" s="5" t="s">
        <v>30</v>
      </c>
      <c r="C10" s="6" t="n">
        <v>8</v>
      </c>
      <c r="D10" s="7" t="n">
        <f aca="false">IF(AND($K10="",$L10="",$M10=""),$J$1,WORKDAY(MAX(IFERROR(INDEX($E$2:$E$43,MATCH($K10,$A$2:$A$43,0)),0),IFERROR(INDEX($E$2:$E$43,MATCH($L10,$A$2:$A$43,0)),0),IFERROR(INDEX($E$2:$E$43,MATCH($M10,$A$2:$A$43,0)),0)),1))</f>
        <v>46307</v>
      </c>
      <c r="E10" s="7" t="n">
        <f aca="false">WORKDAY(D10,C10-1)</f>
        <v>46316</v>
      </c>
      <c r="F10" s="6" t="s">
        <v>27</v>
      </c>
      <c r="G10" s="8" t="s">
        <v>14</v>
      </c>
      <c r="K10" s="14" t="s">
        <v>27</v>
      </c>
    </row>
    <row r="11" customFormat="false" ht="15" hidden="false" customHeight="false" outlineLevel="0" collapsed="false">
      <c r="A11" s="9" t="s">
        <v>31</v>
      </c>
      <c r="B11" s="10" t="s">
        <v>32</v>
      </c>
      <c r="C11" s="11" t="n">
        <v>7</v>
      </c>
      <c r="D11" s="12" t="n">
        <f aca="false">IF(AND($K11="",$L11="",$M11=""),$J$1,WORKDAY(MAX(IFERROR(INDEX($E$2:$E$43,MATCH($K11,$A$2:$A$43,0)),0),IFERROR(INDEX($E$2:$E$43,MATCH($L11,$A$2:$A$43,0)),0),IFERROR(INDEX($E$2:$E$43,MATCH($M11,$A$2:$A$43,0)),0)),1))</f>
        <v>46317</v>
      </c>
      <c r="E11" s="12" t="n">
        <f aca="false">WORKDAY(D11,C11-1)</f>
        <v>46325</v>
      </c>
      <c r="F11" s="11" t="s">
        <v>33</v>
      </c>
      <c r="G11" s="13" t="s">
        <v>26</v>
      </c>
      <c r="K11" s="14" t="s">
        <v>24</v>
      </c>
      <c r="L11" s="14" t="s">
        <v>29</v>
      </c>
      <c r="M11" s="14" t="s">
        <v>15</v>
      </c>
    </row>
    <row r="12" customFormat="false" ht="15" hidden="false" customHeight="false" outlineLevel="0" collapsed="false">
      <c r="A12" s="4" t="s">
        <v>34</v>
      </c>
      <c r="B12" s="5" t="s">
        <v>35</v>
      </c>
      <c r="C12" s="6" t="n">
        <v>4</v>
      </c>
      <c r="D12" s="7" t="n">
        <f aca="false">IF(AND($K12="",$L12="",$M12=""),$J$1,WORKDAY(MAX(IFERROR(INDEX($E$2:$E$43,MATCH($K12,$A$2:$A$43,0)),0),IFERROR(INDEX($E$2:$E$43,MATCH($L12,$A$2:$A$43,0)),0),IFERROR(INDEX($E$2:$E$43,MATCH($M12,$A$2:$A$43,0)),0)),1))</f>
        <v>46266</v>
      </c>
      <c r="E12" s="7" t="n">
        <f aca="false">WORKDAY(D12,C12-1)</f>
        <v>46269</v>
      </c>
      <c r="F12" s="6" t="s">
        <v>10</v>
      </c>
      <c r="G12" s="8" t="s">
        <v>36</v>
      </c>
    </row>
    <row r="13" customFormat="false" ht="15" hidden="false" customHeight="false" outlineLevel="0" collapsed="false">
      <c r="A13" s="9" t="s">
        <v>37</v>
      </c>
      <c r="B13" s="10" t="s">
        <v>38</v>
      </c>
      <c r="C13" s="11" t="n">
        <v>2</v>
      </c>
      <c r="D13" s="12" t="n">
        <f aca="false">IF(AND($K13="",$L13="",$M13=""),$J$1,WORKDAY(MAX(IFERROR(INDEX($E$2:$E$43,MATCH($K13,$A$2:$A$43,0)),0),IFERROR(INDEX($E$2:$E$43,MATCH($L13,$A$2:$A$43,0)),0),IFERROR(INDEX($E$2:$E$43,MATCH($M13,$A$2:$A$43,0)),0)),1))</f>
        <v>46272</v>
      </c>
      <c r="E13" s="12" t="n">
        <f aca="false">WORKDAY(D13,C13-1)</f>
        <v>46273</v>
      </c>
      <c r="F13" s="11" t="s">
        <v>34</v>
      </c>
      <c r="G13" s="13" t="s">
        <v>39</v>
      </c>
      <c r="K13" s="14" t="s">
        <v>34</v>
      </c>
    </row>
    <row r="14" customFormat="false" ht="15" hidden="false" customHeight="false" outlineLevel="0" collapsed="false">
      <c r="A14" s="4" t="s">
        <v>40</v>
      </c>
      <c r="B14" s="5" t="s">
        <v>41</v>
      </c>
      <c r="C14" s="6" t="n">
        <v>2</v>
      </c>
      <c r="D14" s="7" t="n">
        <f aca="false">IF(AND($K14="",$L14="",$M14=""),$J$1,WORKDAY(MAX(IFERROR(INDEX($E$2:$E$43,MATCH($K14,$A$2:$A$43,0)),0),IFERROR(INDEX($E$2:$E$43,MATCH($L14,$A$2:$A$43,0)),0),IFERROR(INDEX($E$2:$E$43,MATCH($M14,$A$2:$A$43,0)),0)),1))</f>
        <v>46274</v>
      </c>
      <c r="E14" s="7" t="n">
        <f aca="false">WORKDAY(D14,C14-1)</f>
        <v>46275</v>
      </c>
      <c r="F14" s="6" t="s">
        <v>37</v>
      </c>
      <c r="G14" s="8" t="s">
        <v>42</v>
      </c>
      <c r="K14" s="14" t="s">
        <v>37</v>
      </c>
    </row>
    <row r="15" customFormat="false" ht="15" hidden="false" customHeight="false" outlineLevel="0" collapsed="false">
      <c r="A15" s="9" t="s">
        <v>43</v>
      </c>
      <c r="B15" s="10" t="s">
        <v>44</v>
      </c>
      <c r="C15" s="11" t="n">
        <v>2</v>
      </c>
      <c r="D15" s="12" t="n">
        <f aca="false">IF(AND($K15="",$L15="",$M15=""),$J$1,WORKDAY(MAX(IFERROR(INDEX($E$2:$E$43,MATCH($K15,$A$2:$A$43,0)),0),IFERROR(INDEX($E$2:$E$43,MATCH($L15,$A$2:$A$43,0)),0),IFERROR(INDEX($E$2:$E$43,MATCH($M15,$A$2:$A$43,0)),0)),1))</f>
        <v>46276</v>
      </c>
      <c r="E15" s="12" t="n">
        <f aca="false">WORKDAY(D15,C15-1)</f>
        <v>46279</v>
      </c>
      <c r="F15" s="11" t="s">
        <v>40</v>
      </c>
      <c r="G15" s="13" t="s">
        <v>39</v>
      </c>
      <c r="K15" s="14" t="s">
        <v>40</v>
      </c>
    </row>
    <row r="16" customFormat="false" ht="15" hidden="false" customHeight="false" outlineLevel="0" collapsed="false">
      <c r="A16" s="4" t="s">
        <v>45</v>
      </c>
      <c r="B16" s="5" t="s">
        <v>46</v>
      </c>
      <c r="C16" s="6" t="n">
        <v>5</v>
      </c>
      <c r="D16" s="7" t="n">
        <f aca="false">IF(AND($K16="",$L16="",$M16=""),$J$1,WORKDAY(MAX(IFERROR(INDEX($E$2:$E$43,MATCH($K16,$A$2:$A$43,0)),0),IFERROR(INDEX($E$2:$E$43,MATCH($L16,$A$2:$A$43,0)),0),IFERROR(INDEX($E$2:$E$43,MATCH($M16,$A$2:$A$43,0)),0)),1))</f>
        <v>46280</v>
      </c>
      <c r="E16" s="7" t="n">
        <f aca="false">WORKDAY(D16,C16-1)</f>
        <v>46286</v>
      </c>
      <c r="F16" s="6" t="s">
        <v>43</v>
      </c>
      <c r="G16" s="8" t="s">
        <v>47</v>
      </c>
      <c r="K16" s="14" t="s">
        <v>43</v>
      </c>
    </row>
    <row r="17" customFormat="false" ht="15" hidden="false" customHeight="false" outlineLevel="0" collapsed="false">
      <c r="A17" s="9" t="s">
        <v>48</v>
      </c>
      <c r="B17" s="10" t="s">
        <v>49</v>
      </c>
      <c r="C17" s="11" t="n">
        <v>3</v>
      </c>
      <c r="D17" s="12" t="n">
        <f aca="false">IF(AND($K17="",$L17="",$M17=""),$J$1,WORKDAY(MAX(IFERROR(INDEX($E$2:$E$43,MATCH($K17,$A$2:$A$43,0)),0),IFERROR(INDEX($E$2:$E$43,MATCH($L17,$A$2:$A$43,0)),0),IFERROR(INDEX($E$2:$E$43,MATCH($M17,$A$2:$A$43,0)),0)),1))</f>
        <v>46274</v>
      </c>
      <c r="E17" s="12" t="n">
        <f aca="false">WORKDAY(D17,C17-1)</f>
        <v>46276</v>
      </c>
      <c r="F17" s="11" t="s">
        <v>37</v>
      </c>
      <c r="G17" s="13" t="s">
        <v>39</v>
      </c>
      <c r="K17" s="14" t="s">
        <v>37</v>
      </c>
    </row>
    <row r="18" customFormat="false" ht="15" hidden="false" customHeight="false" outlineLevel="0" collapsed="false">
      <c r="A18" s="4" t="s">
        <v>50</v>
      </c>
      <c r="B18" s="5" t="s">
        <v>51</v>
      </c>
      <c r="C18" s="6" t="n">
        <v>2</v>
      </c>
      <c r="D18" s="7" t="n">
        <f aca="false">IF(AND($K18="",$L18="",$M18=""),$J$1,WORKDAY(MAX(IFERROR(INDEX($E$2:$E$43,MATCH($K18,$A$2:$A$43,0)),0),IFERROR(INDEX($E$2:$E$43,MATCH($L18,$A$2:$A$43,0)),0),IFERROR(INDEX($E$2:$E$43,MATCH($M18,$A$2:$A$43,0)),0)),1))</f>
        <v>46328</v>
      </c>
      <c r="E18" s="7" t="n">
        <f aca="false">WORKDAY(D18,C18-1)</f>
        <v>46329</v>
      </c>
      <c r="F18" s="6" t="s">
        <v>31</v>
      </c>
      <c r="G18" s="8" t="s">
        <v>52</v>
      </c>
      <c r="K18" s="14" t="s">
        <v>31</v>
      </c>
    </row>
    <row r="19" customFormat="false" ht="15" hidden="false" customHeight="false" outlineLevel="0" collapsed="false">
      <c r="A19" s="9" t="s">
        <v>53</v>
      </c>
      <c r="B19" s="10" t="s">
        <v>54</v>
      </c>
      <c r="C19" s="11" t="n">
        <v>20</v>
      </c>
      <c r="D19" s="12" t="n">
        <f aca="false">IF(AND($K19="",$L19="",$M19=""),$J$1,WORKDAY(MAX(IFERROR(INDEX($E$2:$E$43,MATCH($K19,$A$2:$A$43,0)),0),IFERROR(INDEX($E$2:$E$43,MATCH($L19,$A$2:$A$43,0)),0),IFERROR(INDEX($E$2:$E$43,MATCH($M19,$A$2:$A$43,0)),0)),1))</f>
        <v>46330</v>
      </c>
      <c r="E19" s="12" t="n">
        <f aca="false">WORKDAY(D19,C19-1)</f>
        <v>46357</v>
      </c>
      <c r="F19" s="11" t="s">
        <v>50</v>
      </c>
      <c r="G19" s="13" t="s">
        <v>10</v>
      </c>
      <c r="K19" s="14" t="s">
        <v>50</v>
      </c>
    </row>
    <row r="20" customFormat="false" ht="15" hidden="false" customHeight="false" outlineLevel="0" collapsed="false">
      <c r="A20" s="4" t="s">
        <v>55</v>
      </c>
      <c r="B20" s="5" t="s">
        <v>56</v>
      </c>
      <c r="C20" s="6" t="n">
        <v>2</v>
      </c>
      <c r="D20" s="7" t="n">
        <f aca="false">IF(AND($K20="",$L20="",$M20=""),$J$1,WORKDAY(MAX(IFERROR(INDEX($E$2:$E$43,MATCH($K20,$A$2:$A$43,0)),0),IFERROR(INDEX($E$2:$E$43,MATCH($L20,$A$2:$A$43,0)),0),IFERROR(INDEX($E$2:$E$43,MATCH($M20,$A$2:$A$43,0)),0)),1))</f>
        <v>46358</v>
      </c>
      <c r="E20" s="7" t="n">
        <f aca="false">WORKDAY(D20,C20-1)</f>
        <v>46359</v>
      </c>
      <c r="F20" s="6" t="s">
        <v>53</v>
      </c>
      <c r="G20" s="8" t="s">
        <v>52</v>
      </c>
      <c r="K20" s="14" t="s">
        <v>53</v>
      </c>
    </row>
    <row r="21" customFormat="false" ht="15" hidden="false" customHeight="false" outlineLevel="0" collapsed="false">
      <c r="A21" s="9" t="s">
        <v>57</v>
      </c>
      <c r="B21" s="10" t="s">
        <v>58</v>
      </c>
      <c r="C21" s="11" t="n">
        <v>20</v>
      </c>
      <c r="D21" s="12" t="n">
        <f aca="false">IF(AND($K21="",$L21="",$M21=""),$J$1,WORKDAY(MAX(IFERROR(INDEX($E$2:$E$43,MATCH($K21,$A$2:$A$43,0)),0),IFERROR(INDEX($E$2:$E$43,MATCH($L21,$A$2:$A$43,0)),0),IFERROR(INDEX($E$2:$E$43,MATCH($M21,$A$2:$A$43,0)),0)),1))</f>
        <v>46360</v>
      </c>
      <c r="E21" s="12" t="n">
        <f aca="false">WORKDAY(D21,C21-1)</f>
        <v>46387</v>
      </c>
      <c r="F21" s="11" t="s">
        <v>55</v>
      </c>
      <c r="G21" s="13" t="s">
        <v>10</v>
      </c>
      <c r="K21" s="14" t="s">
        <v>55</v>
      </c>
    </row>
    <row r="22" customFormat="false" ht="15" hidden="false" customHeight="false" outlineLevel="0" collapsed="false">
      <c r="A22" s="4" t="s">
        <v>59</v>
      </c>
      <c r="B22" s="5" t="s">
        <v>60</v>
      </c>
      <c r="C22" s="6" t="n">
        <v>2</v>
      </c>
      <c r="D22" s="7" t="n">
        <f aca="false">IF(AND($K22="",$L22="",$M22=""),$J$1,WORKDAY(MAX(IFERROR(INDEX($E$2:$E$43,MATCH($K22,$A$2:$A$43,0)),0),IFERROR(INDEX($E$2:$E$43,MATCH($L22,$A$2:$A$43,0)),0),IFERROR(INDEX($E$2:$E$43,MATCH($M22,$A$2:$A$43,0)),0)),1))</f>
        <v>46388</v>
      </c>
      <c r="E22" s="7" t="n">
        <f aca="false">WORKDAY(D22,C22-1)</f>
        <v>46391</v>
      </c>
      <c r="F22" s="6" t="s">
        <v>57</v>
      </c>
      <c r="G22" s="8" t="s">
        <v>52</v>
      </c>
      <c r="K22" s="14" t="s">
        <v>57</v>
      </c>
    </row>
    <row r="23" customFormat="false" ht="15" hidden="false" customHeight="false" outlineLevel="0" collapsed="false">
      <c r="A23" s="9" t="s">
        <v>61</v>
      </c>
      <c r="B23" s="10" t="s">
        <v>62</v>
      </c>
      <c r="C23" s="11" t="n">
        <v>20</v>
      </c>
      <c r="D23" s="12" t="n">
        <f aca="false">IF(AND($K23="",$L23="",$M23=""),$J$1,WORKDAY(MAX(IFERROR(INDEX($E$2:$E$43,MATCH($K23,$A$2:$A$43,0)),0),IFERROR(INDEX($E$2:$E$43,MATCH($L23,$A$2:$A$43,0)),0),IFERROR(INDEX($E$2:$E$43,MATCH($M23,$A$2:$A$43,0)),0)),1))</f>
        <v>46392</v>
      </c>
      <c r="E23" s="12" t="n">
        <f aca="false">WORKDAY(D23,C23-1)</f>
        <v>46419</v>
      </c>
      <c r="F23" s="11" t="s">
        <v>59</v>
      </c>
      <c r="G23" s="13" t="s">
        <v>10</v>
      </c>
      <c r="K23" s="14" t="s">
        <v>59</v>
      </c>
    </row>
    <row r="24" customFormat="false" ht="15" hidden="false" customHeight="false" outlineLevel="0" collapsed="false">
      <c r="A24" s="4" t="s">
        <v>63</v>
      </c>
      <c r="B24" s="5" t="s">
        <v>64</v>
      </c>
      <c r="C24" s="6" t="n">
        <v>2</v>
      </c>
      <c r="D24" s="7" t="n">
        <f aca="false">IF(AND($K24="",$L24="",$M24=""),$J$1,WORKDAY(MAX(IFERROR(INDEX($E$2:$E$43,MATCH($K24,$A$2:$A$43,0)),0),IFERROR(INDEX($E$2:$E$43,MATCH($L24,$A$2:$A$43,0)),0),IFERROR(INDEX($E$2:$E$43,MATCH($M24,$A$2:$A$43,0)),0)),1))</f>
        <v>46420</v>
      </c>
      <c r="E24" s="7" t="n">
        <f aca="false">WORKDAY(D24,C24-1)</f>
        <v>46421</v>
      </c>
      <c r="F24" s="6" t="s">
        <v>61</v>
      </c>
      <c r="G24" s="8" t="s">
        <v>52</v>
      </c>
      <c r="K24" s="14" t="s">
        <v>61</v>
      </c>
    </row>
    <row r="25" customFormat="false" ht="15" hidden="false" customHeight="false" outlineLevel="0" collapsed="false">
      <c r="A25" s="9" t="s">
        <v>65</v>
      </c>
      <c r="B25" s="10" t="s">
        <v>66</v>
      </c>
      <c r="C25" s="11" t="n">
        <v>3</v>
      </c>
      <c r="D25" s="12" t="n">
        <f aca="false">IF(AND($K25="",$L25="",$M25=""),$J$1,WORKDAY(MAX(IFERROR(INDEX($E$2:$E$43,MATCH($K25,$A$2:$A$43,0)),0),IFERROR(INDEX($E$2:$E$43,MATCH($L25,$A$2:$A$43,0)),0),IFERROR(INDEX($E$2:$E$43,MATCH($M25,$A$2:$A$43,0)),0)),1))</f>
        <v>46328</v>
      </c>
      <c r="E25" s="12" t="n">
        <f aca="false">WORKDAY(D25,C25-1)</f>
        <v>46330</v>
      </c>
      <c r="F25" s="11" t="s">
        <v>67</v>
      </c>
      <c r="G25" s="13" t="s">
        <v>68</v>
      </c>
      <c r="K25" s="14" t="s">
        <v>31</v>
      </c>
      <c r="L25" s="14" t="s">
        <v>45</v>
      </c>
      <c r="M25" s="14" t="s">
        <v>8</v>
      </c>
    </row>
    <row r="26" customFormat="false" ht="15" hidden="false" customHeight="false" outlineLevel="0" collapsed="false">
      <c r="A26" s="4" t="s">
        <v>69</v>
      </c>
      <c r="B26" s="5" t="s">
        <v>70</v>
      </c>
      <c r="C26" s="6" t="n">
        <v>4</v>
      </c>
      <c r="D26" s="7" t="n">
        <f aca="false">IF(AND($K26="",$L26="",$M26=""),$J$1,WORKDAY(MAX(IFERROR(INDEX($E$2:$E$43,MATCH($K26,$A$2:$A$43,0)),0),IFERROR(INDEX($E$2:$E$43,MATCH($L26,$A$2:$A$43,0)),0),IFERROR(INDEX($E$2:$E$43,MATCH($M26,$A$2:$A$43,0)),0)),1))</f>
        <v>46331</v>
      </c>
      <c r="E26" s="7" t="n">
        <f aca="false">WORKDAY(D26,C26-1)</f>
        <v>46336</v>
      </c>
      <c r="F26" s="6" t="s">
        <v>71</v>
      </c>
      <c r="G26" s="8" t="s">
        <v>39</v>
      </c>
      <c r="K26" s="14" t="s">
        <v>48</v>
      </c>
      <c r="L26" s="14" t="s">
        <v>65</v>
      </c>
    </row>
    <row r="27" customFormat="false" ht="15" hidden="false" customHeight="false" outlineLevel="0" collapsed="false">
      <c r="A27" s="9" t="s">
        <v>72</v>
      </c>
      <c r="B27" s="10" t="s">
        <v>73</v>
      </c>
      <c r="C27" s="11" t="n">
        <v>2</v>
      </c>
      <c r="D27" s="12" t="n">
        <f aca="false">IF(AND($K27="",$L27="",$M27=""),$J$1,WORKDAY(MAX(IFERROR(INDEX($E$2:$E$43,MATCH($K27,$A$2:$A$43,0)),0),IFERROR(INDEX($E$2:$E$43,MATCH($L27,$A$2:$A$43,0)),0),IFERROR(INDEX($E$2:$E$43,MATCH($M27,$A$2:$A$43,0)),0)),1))</f>
        <v>46337</v>
      </c>
      <c r="E27" s="12" t="n">
        <f aca="false">WORKDAY(D27,C27-1)</f>
        <v>46338</v>
      </c>
      <c r="F27" s="11" t="s">
        <v>69</v>
      </c>
      <c r="G27" s="13" t="s">
        <v>39</v>
      </c>
      <c r="K27" s="14" t="s">
        <v>69</v>
      </c>
    </row>
    <row r="28" customFormat="false" ht="15" hidden="false" customHeight="false" outlineLevel="0" collapsed="false">
      <c r="A28" s="4" t="s">
        <v>74</v>
      </c>
      <c r="B28" s="5" t="s">
        <v>75</v>
      </c>
      <c r="C28" s="6" t="n">
        <v>40</v>
      </c>
      <c r="D28" s="7" t="n">
        <f aca="false">IF(AND($K28="",$L28="",$M28=""),$J$1,WORKDAY(MAX(IFERROR(INDEX($E$2:$E$43,MATCH($K28,$A$2:$A$43,0)),0),IFERROR(INDEX($E$2:$E$43,MATCH($L28,$A$2:$A$43,0)),0),IFERROR(INDEX($E$2:$E$43,MATCH($M28,$A$2:$A$43,0)),0)),1))</f>
        <v>46339</v>
      </c>
      <c r="E28" s="7" t="n">
        <f aca="false">WORKDAY(D28,C28-1)</f>
        <v>46394</v>
      </c>
      <c r="F28" s="6" t="s">
        <v>72</v>
      </c>
      <c r="G28" s="8" t="s">
        <v>10</v>
      </c>
      <c r="K28" s="14" t="s">
        <v>72</v>
      </c>
    </row>
    <row r="29" customFormat="false" ht="15" hidden="false" customHeight="false" outlineLevel="0" collapsed="false">
      <c r="A29" s="9" t="s">
        <v>76</v>
      </c>
      <c r="B29" s="10" t="s">
        <v>77</v>
      </c>
      <c r="C29" s="11" t="n">
        <v>2</v>
      </c>
      <c r="D29" s="12" t="n">
        <f aca="false">IF(AND($K29="",$L29="",$M29=""),$J$1,WORKDAY(MAX(IFERROR(INDEX($E$2:$E$43,MATCH($K29,$A$2:$A$43,0)),0),IFERROR(INDEX($E$2:$E$43,MATCH($L29,$A$2:$A$43,0)),0),IFERROR(INDEX($E$2:$E$43,MATCH($M29,$A$2:$A$43,0)),0)),1))</f>
        <v>46395</v>
      </c>
      <c r="E29" s="12" t="n">
        <f aca="false">WORKDAY(D29,C29-1)</f>
        <v>46398</v>
      </c>
      <c r="F29" s="11" t="s">
        <v>74</v>
      </c>
      <c r="G29" s="13" t="s">
        <v>39</v>
      </c>
      <c r="K29" s="14" t="s">
        <v>74</v>
      </c>
    </row>
    <row r="30" customFormat="false" ht="15" hidden="false" customHeight="false" outlineLevel="0" collapsed="false">
      <c r="A30" s="4" t="s">
        <v>78</v>
      </c>
      <c r="B30" s="5" t="s">
        <v>79</v>
      </c>
      <c r="C30" s="6" t="n">
        <v>60</v>
      </c>
      <c r="D30" s="7" t="n">
        <f aca="false">IF(AND($K30="",$L30="",$M30=""),$J$1,WORKDAY(MAX(IFERROR(INDEX($E$2:$E$43,MATCH($K30,$A$2:$A$43,0)),0),IFERROR(INDEX($E$2:$E$43,MATCH($L30,$A$2:$A$43,0)),0),IFERROR(INDEX($E$2:$E$43,MATCH($M30,$A$2:$A$43,0)),0)),1))</f>
        <v>46399</v>
      </c>
      <c r="E30" s="7" t="n">
        <f aca="false">WORKDAY(D30,C30-1)</f>
        <v>46482</v>
      </c>
      <c r="F30" s="6" t="s">
        <v>76</v>
      </c>
      <c r="G30" s="8" t="s">
        <v>10</v>
      </c>
      <c r="K30" s="14" t="s">
        <v>76</v>
      </c>
    </row>
    <row r="31" customFormat="false" ht="15" hidden="false" customHeight="false" outlineLevel="0" collapsed="false">
      <c r="A31" s="9" t="s">
        <v>80</v>
      </c>
      <c r="B31" s="10" t="s">
        <v>81</v>
      </c>
      <c r="C31" s="11" t="n">
        <v>2</v>
      </c>
      <c r="D31" s="12" t="n">
        <f aca="false">IF(AND($K31="",$L31="",$M31=""),$J$1,WORKDAY(MAX(IFERROR(INDEX($E$2:$E$43,MATCH($K31,$A$2:$A$43,0)),0),IFERROR(INDEX($E$2:$E$43,MATCH($L31,$A$2:$A$43,0)),0),IFERROR(INDEX($E$2:$E$43,MATCH($M31,$A$2:$A$43,0)),0)),1))</f>
        <v>46483</v>
      </c>
      <c r="E31" s="12" t="n">
        <f aca="false">WORKDAY(D31,C31-1)</f>
        <v>46484</v>
      </c>
      <c r="F31" s="11" t="s">
        <v>78</v>
      </c>
      <c r="G31" s="13" t="s">
        <v>39</v>
      </c>
      <c r="K31" s="14" t="s">
        <v>78</v>
      </c>
    </row>
    <row r="32" customFormat="false" ht="15" hidden="false" customHeight="false" outlineLevel="0" collapsed="false">
      <c r="A32" s="4" t="s">
        <v>82</v>
      </c>
      <c r="B32" s="5" t="s">
        <v>83</v>
      </c>
      <c r="C32" s="6" t="n">
        <v>60</v>
      </c>
      <c r="D32" s="7" t="n">
        <f aca="false">IF(AND($K32="",$L32="",$M32=""),$J$1,WORKDAY(MAX(IFERROR(INDEX($E$2:$E$43,MATCH($K32,$A$2:$A$43,0)),0),IFERROR(INDEX($E$2:$E$43,MATCH($L32,$A$2:$A$43,0)),0),IFERROR(INDEX($E$2:$E$43,MATCH($M32,$A$2:$A$43,0)),0)),1))</f>
        <v>46485</v>
      </c>
      <c r="E32" s="7" t="n">
        <f aca="false">WORKDAY(D32,C32-1)</f>
        <v>46568</v>
      </c>
      <c r="F32" s="6" t="s">
        <v>80</v>
      </c>
      <c r="G32" s="8" t="s">
        <v>10</v>
      </c>
      <c r="K32" s="14" t="s">
        <v>80</v>
      </c>
    </row>
    <row r="33" customFormat="false" ht="15" hidden="false" customHeight="false" outlineLevel="0" collapsed="false">
      <c r="A33" s="9" t="s">
        <v>84</v>
      </c>
      <c r="B33" s="10" t="s">
        <v>85</v>
      </c>
      <c r="C33" s="11" t="n">
        <v>2</v>
      </c>
      <c r="D33" s="12" t="n">
        <f aca="false">IF(AND($K33="",$L33="",$M33=""),$J$1,WORKDAY(MAX(IFERROR(INDEX($E$2:$E$43,MATCH($K33,$A$2:$A$43,0)),0),IFERROR(INDEX($E$2:$E$43,MATCH($L33,$A$2:$A$43,0)),0),IFERROR(INDEX($E$2:$E$43,MATCH($M33,$A$2:$A$43,0)),0)),1))</f>
        <v>46569</v>
      </c>
      <c r="E33" s="12" t="n">
        <f aca="false">WORKDAY(D33,C33-1)</f>
        <v>46570</v>
      </c>
      <c r="F33" s="11" t="s">
        <v>82</v>
      </c>
      <c r="G33" s="13" t="s">
        <v>39</v>
      </c>
      <c r="K33" s="14" t="s">
        <v>82</v>
      </c>
    </row>
    <row r="34" customFormat="false" ht="15" hidden="false" customHeight="false" outlineLevel="0" collapsed="false">
      <c r="A34" s="4" t="s">
        <v>86</v>
      </c>
      <c r="B34" s="5" t="s">
        <v>87</v>
      </c>
      <c r="C34" s="6" t="n">
        <v>3</v>
      </c>
      <c r="D34" s="7" t="n">
        <f aca="false">IF(AND($K34="",$L34="",$M34=""),$J$1,WORKDAY(MAX(IFERROR(INDEX($E$2:$E$43,MATCH($K34,$A$2:$A$43,0)),0),IFERROR(INDEX($E$2:$E$43,MATCH($L34,$A$2:$A$43,0)),0),IFERROR(INDEX($E$2:$E$43,MATCH($M34,$A$2:$A$43,0)),0)),1))</f>
        <v>46422</v>
      </c>
      <c r="E34" s="7" t="n">
        <f aca="false">WORKDAY(D34,C34-1)</f>
        <v>46426</v>
      </c>
      <c r="F34" s="6" t="s">
        <v>63</v>
      </c>
      <c r="G34" s="8" t="s">
        <v>88</v>
      </c>
      <c r="K34" s="14" t="s">
        <v>63</v>
      </c>
    </row>
    <row r="35" customFormat="false" ht="15" hidden="false" customHeight="false" outlineLevel="0" collapsed="false">
      <c r="A35" s="9" t="s">
        <v>89</v>
      </c>
      <c r="B35" s="10" t="s">
        <v>90</v>
      </c>
      <c r="C35" s="11" t="n">
        <v>8</v>
      </c>
      <c r="D35" s="12" t="n">
        <f aca="false">IF(AND($K35="",$L35="",$M35=""),$J$1,WORKDAY(MAX(IFERROR(INDEX($E$2:$E$43,MATCH($K35,$A$2:$A$43,0)),0),IFERROR(INDEX($E$2:$E$43,MATCH($L35,$A$2:$A$43,0)),0),IFERROR(INDEX($E$2:$E$43,MATCH($M35,$A$2:$A$43,0)),0)),1))</f>
        <v>46427</v>
      </c>
      <c r="E35" s="12" t="n">
        <f aca="false">WORKDAY(D35,C35-1)</f>
        <v>46436</v>
      </c>
      <c r="F35" s="11" t="s">
        <v>86</v>
      </c>
      <c r="G35" s="13" t="s">
        <v>88</v>
      </c>
      <c r="K35" s="14" t="s">
        <v>86</v>
      </c>
    </row>
    <row r="36" customFormat="false" ht="15" hidden="false" customHeight="false" outlineLevel="0" collapsed="false">
      <c r="A36" s="4" t="s">
        <v>91</v>
      </c>
      <c r="B36" s="5" t="s">
        <v>92</v>
      </c>
      <c r="C36" s="6" t="n">
        <v>4</v>
      </c>
      <c r="D36" s="7" t="n">
        <f aca="false">IF(AND($K36="",$L36="",$M36=""),$J$1,WORKDAY(MAX(IFERROR(INDEX($E$2:$E$43,MATCH($K36,$A$2:$A$43,0)),0),IFERROR(INDEX($E$2:$E$43,MATCH($L36,$A$2:$A$43,0)),0),IFERROR(INDEX($E$2:$E$43,MATCH($M36,$A$2:$A$43,0)),0)),1))</f>
        <v>46437</v>
      </c>
      <c r="E36" s="7" t="n">
        <f aca="false">WORKDAY(D36,C36-1)</f>
        <v>46442</v>
      </c>
      <c r="F36" s="6" t="s">
        <v>89</v>
      </c>
      <c r="G36" s="8" t="s">
        <v>88</v>
      </c>
      <c r="K36" s="14" t="s">
        <v>89</v>
      </c>
    </row>
    <row r="37" customFormat="false" ht="15" hidden="false" customHeight="false" outlineLevel="0" collapsed="false">
      <c r="A37" s="9" t="s">
        <v>93</v>
      </c>
      <c r="B37" s="10" t="s">
        <v>94</v>
      </c>
      <c r="C37" s="11" t="n">
        <v>5</v>
      </c>
      <c r="D37" s="12" t="n">
        <f aca="false">IF(AND($K37="",$L37="",$M37=""),$J$1,WORKDAY(MAX(IFERROR(INDEX($E$2:$E$43,MATCH($K37,$A$2:$A$43,0)),0),IFERROR(INDEX($E$2:$E$43,MATCH($L37,$A$2:$A$43,0)),0),IFERROR(INDEX($E$2:$E$43,MATCH($M37,$A$2:$A$43,0)),0)),1))</f>
        <v>46443</v>
      </c>
      <c r="E37" s="12" t="n">
        <f aca="false">WORKDAY(D37,C37-1)</f>
        <v>46449</v>
      </c>
      <c r="F37" s="11" t="s">
        <v>91</v>
      </c>
      <c r="G37" s="13" t="s">
        <v>14</v>
      </c>
      <c r="K37" s="14" t="s">
        <v>91</v>
      </c>
    </row>
    <row r="38" customFormat="false" ht="15" hidden="false" customHeight="false" outlineLevel="0" collapsed="false">
      <c r="A38" s="4" t="s">
        <v>95</v>
      </c>
      <c r="B38" s="5" t="s">
        <v>96</v>
      </c>
      <c r="C38" s="6" t="n">
        <v>5</v>
      </c>
      <c r="D38" s="7" t="n">
        <f aca="false">IF(AND($K38="",$L38="",$M38=""),$J$1,WORKDAY(MAX(IFERROR(INDEX($E$2:$E$43,MATCH($K38,$A$2:$A$43,0)),0),IFERROR(INDEX($E$2:$E$43,MATCH($L38,$A$2:$A$43,0)),0),IFERROR(INDEX($E$2:$E$43,MATCH($M38,$A$2:$A$43,0)),0)),1))</f>
        <v>46573</v>
      </c>
      <c r="E38" s="7" t="n">
        <f aca="false">WORKDAY(D38,C38-1)</f>
        <v>46577</v>
      </c>
      <c r="F38" s="6" t="s">
        <v>97</v>
      </c>
      <c r="G38" s="8" t="s">
        <v>26</v>
      </c>
      <c r="K38" s="14" t="s">
        <v>84</v>
      </c>
      <c r="L38" s="14" t="s">
        <v>93</v>
      </c>
    </row>
    <row r="39" customFormat="false" ht="15" hidden="false" customHeight="false" outlineLevel="0" collapsed="false">
      <c r="A39" s="9" t="s">
        <v>98</v>
      </c>
      <c r="B39" s="10" t="s">
        <v>99</v>
      </c>
      <c r="C39" s="11" t="n">
        <v>4</v>
      </c>
      <c r="D39" s="12" t="n">
        <f aca="false">IF(AND($K39="",$L39="",$M39=""),$J$1,WORKDAY(MAX(IFERROR(INDEX($E$2:$E$43,MATCH($K39,$A$2:$A$43,0)),0),IFERROR(INDEX($E$2:$E$43,MATCH($L39,$A$2:$A$43,0)),0),IFERROR(INDEX($E$2:$E$43,MATCH($M39,$A$2:$A$43,0)),0)),1))</f>
        <v>46580</v>
      </c>
      <c r="E39" s="12" t="n">
        <f aca="false">WORKDAY(D39,C39-1)</f>
        <v>46583</v>
      </c>
      <c r="F39" s="11" t="s">
        <v>95</v>
      </c>
      <c r="G39" s="13" t="s">
        <v>36</v>
      </c>
      <c r="K39" s="14" t="s">
        <v>95</v>
      </c>
    </row>
    <row r="40" customFormat="false" ht="15" hidden="false" customHeight="false" outlineLevel="0" collapsed="false">
      <c r="A40" s="4" t="s">
        <v>100</v>
      </c>
      <c r="B40" s="5" t="s">
        <v>101</v>
      </c>
      <c r="C40" s="6" t="n">
        <v>5</v>
      </c>
      <c r="D40" s="7" t="n">
        <f aca="false">IF(AND($K40="",$L40="",$M40=""),$J$1,WORKDAY(MAX(IFERROR(INDEX($E$2:$E$43,MATCH($K40,$A$2:$A$43,0)),0),IFERROR(INDEX($E$2:$E$43,MATCH($L40,$A$2:$A$43,0)),0),IFERROR(INDEX($E$2:$E$43,MATCH($M40,$A$2:$A$43,0)),0)),1))</f>
        <v>46580</v>
      </c>
      <c r="E40" s="7" t="n">
        <f aca="false">WORKDAY(D40,C40-1)</f>
        <v>46584</v>
      </c>
      <c r="F40" s="6" t="s">
        <v>95</v>
      </c>
      <c r="G40" s="8" t="s">
        <v>36</v>
      </c>
      <c r="K40" s="14" t="s">
        <v>95</v>
      </c>
    </row>
    <row r="41" customFormat="false" ht="15" hidden="false" customHeight="false" outlineLevel="0" collapsed="false">
      <c r="A41" s="9" t="s">
        <v>102</v>
      </c>
      <c r="B41" s="10" t="s">
        <v>103</v>
      </c>
      <c r="C41" s="11" t="n">
        <v>3</v>
      </c>
      <c r="D41" s="12" t="n">
        <f aca="false">IF(AND($K41="",$L41="",$M41=""),$J$1,WORKDAY(MAX(IFERROR(INDEX($E$2:$E$43,MATCH($K41,$A$2:$A$43,0)),0),IFERROR(INDEX($E$2:$E$43,MATCH($L41,$A$2:$A$43,0)),0),IFERROR(INDEX($E$2:$E$43,MATCH($M41,$A$2:$A$43,0)),0)),1))</f>
        <v>46587</v>
      </c>
      <c r="E41" s="12" t="n">
        <f aca="false">WORKDAY(D41,C41-1)</f>
        <v>46589</v>
      </c>
      <c r="F41" s="11" t="s">
        <v>104</v>
      </c>
      <c r="G41" s="13" t="s">
        <v>36</v>
      </c>
      <c r="K41" s="14" t="s">
        <v>98</v>
      </c>
      <c r="L41" s="14" t="s">
        <v>100</v>
      </c>
    </row>
    <row r="42" customFormat="false" ht="15" hidden="false" customHeight="false" outlineLevel="0" collapsed="false">
      <c r="A42" s="4" t="s">
        <v>105</v>
      </c>
      <c r="B42" s="5" t="s">
        <v>106</v>
      </c>
      <c r="C42" s="6" t="n">
        <v>3</v>
      </c>
      <c r="D42" s="7" t="n">
        <f aca="false">IF(AND($K42="",$L42="",$M42=""),$J$1,WORKDAY(MAX(IFERROR(INDEX($E$2:$E$43,MATCH($K42,$A$2:$A$43,0)),0),IFERROR(INDEX($E$2:$E$43,MATCH($L42,$A$2:$A$43,0)),0),IFERROR(INDEX($E$2:$E$43,MATCH($M42,$A$2:$A$43,0)),0)),1))</f>
        <v>46590</v>
      </c>
      <c r="E42" s="7" t="n">
        <f aca="false">WORKDAY(D42,C42-1)</f>
        <v>46594</v>
      </c>
      <c r="F42" s="6" t="s">
        <v>102</v>
      </c>
      <c r="G42" s="8" t="s">
        <v>107</v>
      </c>
      <c r="K42" s="14" t="s">
        <v>102</v>
      </c>
    </row>
    <row r="43" customFormat="false" ht="15" hidden="false" customHeight="false" outlineLevel="0" collapsed="false">
      <c r="A43" s="9" t="s">
        <v>108</v>
      </c>
      <c r="B43" s="10" t="s">
        <v>109</v>
      </c>
      <c r="C43" s="11" t="n">
        <v>4</v>
      </c>
      <c r="D43" s="12" t="n">
        <f aca="false">IF(AND($K43="",$L43="",$M43=""),$J$1,WORKDAY(MAX(IFERROR(INDEX($E$2:$E$43,MATCH($K43,$A$2:$A$43,0)),0),IFERROR(INDEX($E$2:$E$43,MATCH($L43,$A$2:$A$43,0)),0),IFERROR(INDEX($E$2:$E$43,MATCH($M43,$A$2:$A$43,0)),0)),1))</f>
        <v>46595</v>
      </c>
      <c r="E43" s="12" t="n">
        <f aca="false">WORKDAY(D43,C43-1)</f>
        <v>46598</v>
      </c>
      <c r="F43" s="11" t="s">
        <v>105</v>
      </c>
      <c r="G43" s="13" t="s">
        <v>107</v>
      </c>
      <c r="K43" s="14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2026-08-20T16:52:24Z</dcterms:created>
  <dc:creator>openpyxl</dc:creator>
  <dc:description/>
  <dc:language>en-US</dc:language>
  <cp:lastModifiedBy/>
  <dcterms:modified xsi:type="dcterms:W3CDTF">2026-08-20T16:52:24Z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